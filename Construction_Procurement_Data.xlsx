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73177\Desktop\"/>
    </mc:Choice>
  </mc:AlternateContent>
  <bookViews>
    <workbookView xWindow="0" yWindow="0" windowWidth="24000" windowHeight="9630"/>
  </bookViews>
  <sheets>
    <sheet name="Supplier_Master" sheetId="2" r:id="rId1"/>
    <sheet name="Material_Master" sheetId="3" r:id="rId2"/>
    <sheet name="Contracts_RFQ" sheetId="4" r:id="rId3"/>
    <sheet name="Purchase_Orders_GR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5" l="1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</calcChain>
</file>

<file path=xl/sharedStrings.xml><?xml version="1.0" encoding="utf-8"?>
<sst xmlns="http://schemas.openxmlformats.org/spreadsheetml/2006/main" count="212" uniqueCount="114">
  <si>
    <t>Supplier ID</t>
  </si>
  <si>
    <t>Supplier Name</t>
  </si>
  <si>
    <t>Country/Region</t>
  </si>
  <si>
    <t>Service Category</t>
  </si>
  <si>
    <t>Pre-Qual Status</t>
  </si>
  <si>
    <t>Safety Index (1-5)</t>
  </si>
  <si>
    <t>Payment Terms</t>
  </si>
  <si>
    <t>ConcreteMix UAE</t>
  </si>
  <si>
    <t>UAE</t>
  </si>
  <si>
    <t>Direct Material</t>
  </si>
  <si>
    <t>Approved</t>
  </si>
  <si>
    <t>Net 30</t>
  </si>
  <si>
    <t>Gulf Rebar Steel Co.</t>
  </si>
  <si>
    <t>KSA</t>
  </si>
  <si>
    <t>Net 45</t>
  </si>
  <si>
    <t>EuroLift Rentals</t>
  </si>
  <si>
    <t>Germany</t>
  </si>
  <si>
    <t>Equipment Rental</t>
  </si>
  <si>
    <t>Net 60</t>
  </si>
  <si>
    <t>London MEP Services</t>
  </si>
  <si>
    <t>UK</t>
  </si>
  <si>
    <t>Subcontractor</t>
  </si>
  <si>
    <t>Al-Nujum Aggregates</t>
  </si>
  <si>
    <t>Pending</t>
  </si>
  <si>
    <t>Italian Marble &amp; Stone</t>
  </si>
  <si>
    <t>Italy</t>
  </si>
  <si>
    <t>Saudi Scaffolding</t>
  </si>
  <si>
    <t>German Electrical</t>
  </si>
  <si>
    <t>Material ID</t>
  </si>
  <si>
    <t>Material Description</t>
  </si>
  <si>
    <t>Material Group</t>
  </si>
  <si>
    <t>Project Cost Code</t>
  </si>
  <si>
    <t>Unit of Measure</t>
  </si>
  <si>
    <t>Standard Price (USD)</t>
  </si>
  <si>
    <t>M101</t>
  </si>
  <si>
    <t>Steel Rebar (Grade 60)</t>
  </si>
  <si>
    <t>Structural Steel</t>
  </si>
  <si>
    <t>P-STR-001</t>
  </si>
  <si>
    <t>MT</t>
  </si>
  <si>
    <t>M102</t>
  </si>
  <si>
    <t>Ready-Mix Concrete C40</t>
  </si>
  <si>
    <t>Wet Concrete</t>
  </si>
  <si>
    <t>P-CON-002</t>
  </si>
  <si>
    <t>M3</t>
  </si>
  <si>
    <t>M103</t>
  </si>
  <si>
    <t>Scaffolding Rental</t>
  </si>
  <si>
    <t>P-EQP-003</t>
  </si>
  <si>
    <t>Day</t>
  </si>
  <si>
    <t>M104</t>
  </si>
  <si>
    <t>HVAC Subcontract Service</t>
  </si>
  <si>
    <t>P-MEP-004</t>
  </si>
  <si>
    <t>Lot</t>
  </si>
  <si>
    <t>M105</t>
  </si>
  <si>
    <t>Granite Countertops</t>
  </si>
  <si>
    <t>Finishes</t>
  </si>
  <si>
    <t>P-FIN-005</t>
  </si>
  <si>
    <t>SQM</t>
  </si>
  <si>
    <t>M106</t>
  </si>
  <si>
    <t>Standard Cement Bags</t>
  </si>
  <si>
    <t>Dry Material</t>
  </si>
  <si>
    <t>Bag</t>
  </si>
  <si>
    <t>M107</t>
  </si>
  <si>
    <t>Electrical Installation</t>
  </si>
  <si>
    <t>Contract ID</t>
  </si>
  <si>
    <t>Type (MAS/RFQ)</t>
  </si>
  <si>
    <t>Negotiated Price/Rate</t>
  </si>
  <si>
    <t>Contract End Date</t>
  </si>
  <si>
    <t>Max Order Value</t>
  </si>
  <si>
    <t>Status</t>
  </si>
  <si>
    <t>C-001</t>
  </si>
  <si>
    <t>MAS</t>
  </si>
  <si>
    <t>Active</t>
  </si>
  <si>
    <t>C-002</t>
  </si>
  <si>
    <t>C-003</t>
  </si>
  <si>
    <t>Expiring</t>
  </si>
  <si>
    <t>R-101</t>
  </si>
  <si>
    <t>RFQ</t>
  </si>
  <si>
    <t>Awarded</t>
  </si>
  <si>
    <t>R-102</t>
  </si>
  <si>
    <t>C-004</t>
  </si>
  <si>
    <t>PO Number</t>
  </si>
  <si>
    <t>Project ID</t>
  </si>
  <si>
    <t>PO Date</t>
  </si>
  <si>
    <t>Required Delivery Date</t>
  </si>
  <si>
    <t>Actual Delivery Date</t>
  </si>
  <si>
    <t>Quantity</t>
  </si>
  <si>
    <t>Unit Price (PO)</t>
  </si>
  <si>
    <t>Total Value</t>
  </si>
  <si>
    <t>Quality Accepted (Y/N)</t>
  </si>
  <si>
    <t>P-1001</t>
  </si>
  <si>
    <t>Burj-2025</t>
  </si>
  <si>
    <t>Y</t>
  </si>
  <si>
    <t>P-1002</t>
  </si>
  <si>
    <t>Euro-HQ</t>
  </si>
  <si>
    <t>P-1003</t>
  </si>
  <si>
    <t>N</t>
  </si>
  <si>
    <t>P-1004</t>
  </si>
  <si>
    <t>P-1005</t>
  </si>
  <si>
    <t>KSA-Res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</si>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</sst>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1F1F1F"/>
      <name val="Calibri Light"/>
      <family val="2"/>
      <scheme val="major"/>
    </font>
    <font>
      <sz val="11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0" fillId="0" borderId="0" xfId="0" applyBorder="1"/>
    <xf numFmtId="14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wrapText="1" readingOrder="1"/>
    </xf>
    <xf numFmtId="14" fontId="2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J19" sqref="J19"/>
    </sheetView>
  </sheetViews>
  <sheetFormatPr defaultRowHeight="15" x14ac:dyDescent="0.25"/>
  <cols>
    <col min="1" max="1" width="12.28515625" bestFit="1" customWidth="1"/>
    <col min="2" max="2" width="22" bestFit="1" customWidth="1"/>
    <col min="3" max="3" width="17" bestFit="1" customWidth="1"/>
    <col min="4" max="4" width="19.140625" customWidth="1"/>
    <col min="5" max="5" width="19.28515625" customWidth="1"/>
    <col min="6" max="6" width="20.7109375" customWidth="1"/>
    <col min="7" max="7" width="16.7109375" bestFit="1" customWidth="1"/>
  </cols>
  <sheetData>
    <row r="1" spans="1:7" ht="15.75" thickBot="1" x14ac:dyDescent="0.3"/>
    <row r="2" spans="1:7" ht="1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5.75" thickBot="1" x14ac:dyDescent="0.3">
      <c r="A3" s="3">
        <v>1001</v>
      </c>
      <c r="B3" s="4" t="s">
        <v>7</v>
      </c>
      <c r="C3" s="4" t="s">
        <v>8</v>
      </c>
      <c r="D3" s="4" t="s">
        <v>9</v>
      </c>
      <c r="E3" s="4" t="s">
        <v>10</v>
      </c>
      <c r="F3" s="4">
        <v>4</v>
      </c>
      <c r="G3" s="4" t="s">
        <v>11</v>
      </c>
    </row>
    <row r="4" spans="1:7" ht="15.75" thickBot="1" x14ac:dyDescent="0.3">
      <c r="A4" s="3">
        <v>1002</v>
      </c>
      <c r="B4" s="4" t="s">
        <v>12</v>
      </c>
      <c r="C4" s="4" t="s">
        <v>13</v>
      </c>
      <c r="D4" s="4" t="s">
        <v>9</v>
      </c>
      <c r="E4" s="4" t="s">
        <v>10</v>
      </c>
      <c r="F4" s="4">
        <v>5</v>
      </c>
      <c r="G4" s="4" t="s">
        <v>14</v>
      </c>
    </row>
    <row r="5" spans="1:7" ht="15.75" thickBot="1" x14ac:dyDescent="0.3">
      <c r="A5" s="3">
        <v>1003</v>
      </c>
      <c r="B5" s="4" t="s">
        <v>15</v>
      </c>
      <c r="C5" s="4" t="s">
        <v>16</v>
      </c>
      <c r="D5" s="4" t="s">
        <v>17</v>
      </c>
      <c r="E5" s="4" t="s">
        <v>10</v>
      </c>
      <c r="F5" s="4">
        <v>3</v>
      </c>
      <c r="G5" s="4" t="s">
        <v>18</v>
      </c>
    </row>
    <row r="6" spans="1:7" ht="15.75" thickBot="1" x14ac:dyDescent="0.3">
      <c r="A6" s="3">
        <v>1004</v>
      </c>
      <c r="B6" s="4" t="s">
        <v>19</v>
      </c>
      <c r="C6" s="4" t="s">
        <v>20</v>
      </c>
      <c r="D6" s="4" t="s">
        <v>21</v>
      </c>
      <c r="E6" s="4" t="s">
        <v>10</v>
      </c>
      <c r="F6" s="4">
        <v>4</v>
      </c>
      <c r="G6" s="4" t="s">
        <v>11</v>
      </c>
    </row>
    <row r="7" spans="1:7" ht="15.75" thickBot="1" x14ac:dyDescent="0.3">
      <c r="A7" s="3">
        <v>1005</v>
      </c>
      <c r="B7" s="4" t="s">
        <v>22</v>
      </c>
      <c r="C7" s="4" t="s">
        <v>8</v>
      </c>
      <c r="D7" s="4" t="s">
        <v>9</v>
      </c>
      <c r="E7" s="4" t="s">
        <v>23</v>
      </c>
      <c r="F7" s="4">
        <v>2</v>
      </c>
      <c r="G7" s="4" t="s">
        <v>11</v>
      </c>
    </row>
    <row r="8" spans="1:7" ht="15.75" thickBot="1" x14ac:dyDescent="0.3">
      <c r="A8" s="3">
        <v>1006</v>
      </c>
      <c r="B8" s="4" t="s">
        <v>24</v>
      </c>
      <c r="C8" s="4" t="s">
        <v>25</v>
      </c>
      <c r="D8" s="4" t="s">
        <v>9</v>
      </c>
      <c r="E8" s="4" t="s">
        <v>10</v>
      </c>
      <c r="F8" s="4">
        <v>5</v>
      </c>
      <c r="G8" s="4" t="s">
        <v>18</v>
      </c>
    </row>
    <row r="9" spans="1:7" ht="15.75" thickBot="1" x14ac:dyDescent="0.3">
      <c r="A9" s="3">
        <v>1007</v>
      </c>
      <c r="B9" s="4" t="s">
        <v>26</v>
      </c>
      <c r="C9" s="4" t="s">
        <v>13</v>
      </c>
      <c r="D9" s="4" t="s">
        <v>17</v>
      </c>
      <c r="E9" s="4" t="s">
        <v>10</v>
      </c>
      <c r="F9" s="4">
        <v>4</v>
      </c>
      <c r="G9" s="4" t="s">
        <v>14</v>
      </c>
    </row>
    <row r="10" spans="1:7" ht="15.75" thickBot="1" x14ac:dyDescent="0.3">
      <c r="A10" s="3">
        <v>1008</v>
      </c>
      <c r="B10" s="4" t="s">
        <v>27</v>
      </c>
      <c r="C10" s="4" t="s">
        <v>16</v>
      </c>
      <c r="D10" s="4" t="s">
        <v>21</v>
      </c>
      <c r="E10" s="4" t="s">
        <v>23</v>
      </c>
      <c r="F10" s="4">
        <v>3</v>
      </c>
      <c r="G10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XFD2"/>
    </sheetView>
  </sheetViews>
  <sheetFormatPr defaultRowHeight="15" x14ac:dyDescent="0.25"/>
  <cols>
    <col min="1" max="1" width="13.7109375" bestFit="1" customWidth="1"/>
    <col min="2" max="2" width="24.7109375" bestFit="1" customWidth="1"/>
    <col min="3" max="3" width="17.85546875" bestFit="1" customWidth="1"/>
    <col min="4" max="4" width="20.42578125" bestFit="1" customWidth="1"/>
    <col min="5" max="5" width="18.85546875" bestFit="1" customWidth="1"/>
    <col min="6" max="6" width="23.5703125" bestFit="1" customWidth="1"/>
  </cols>
  <sheetData>
    <row r="1" spans="1:6" ht="15.75" thickBot="1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</row>
    <row r="2" spans="1:6" ht="15.75" thickBot="1" x14ac:dyDescent="0.3">
      <c r="A2" s="3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>
        <v>750</v>
      </c>
    </row>
    <row r="3" spans="1:6" ht="15.75" thickBot="1" x14ac:dyDescent="0.3">
      <c r="A3" s="3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>
        <v>95</v>
      </c>
    </row>
    <row r="4" spans="1:6" ht="15.75" thickBot="1" x14ac:dyDescent="0.3">
      <c r="A4" s="3" t="s">
        <v>44</v>
      </c>
      <c r="B4" s="4" t="s">
        <v>45</v>
      </c>
      <c r="C4" s="4" t="s">
        <v>17</v>
      </c>
      <c r="D4" s="4" t="s">
        <v>46</v>
      </c>
      <c r="E4" s="4" t="s">
        <v>47</v>
      </c>
      <c r="F4" s="4">
        <v>120</v>
      </c>
    </row>
    <row r="5" spans="1:6" ht="15.75" thickBot="1" x14ac:dyDescent="0.3">
      <c r="A5" s="3" t="s">
        <v>48</v>
      </c>
      <c r="B5" s="4" t="s">
        <v>49</v>
      </c>
      <c r="C5" s="4" t="s">
        <v>21</v>
      </c>
      <c r="D5" s="4" t="s">
        <v>50</v>
      </c>
      <c r="E5" s="4" t="s">
        <v>51</v>
      </c>
      <c r="F5" s="4">
        <v>85000</v>
      </c>
    </row>
    <row r="6" spans="1:6" ht="15.75" thickBot="1" x14ac:dyDescent="0.3">
      <c r="A6" s="3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>
        <v>150</v>
      </c>
    </row>
    <row r="7" spans="1:6" ht="15.75" thickBot="1" x14ac:dyDescent="0.3">
      <c r="A7" s="3" t="s">
        <v>57</v>
      </c>
      <c r="B7" s="4" t="s">
        <v>58</v>
      </c>
      <c r="C7" s="4" t="s">
        <v>59</v>
      </c>
      <c r="D7" s="4" t="s">
        <v>42</v>
      </c>
      <c r="E7" s="4" t="s">
        <v>60</v>
      </c>
      <c r="F7" s="4">
        <v>5</v>
      </c>
    </row>
    <row r="8" spans="1:6" ht="15.75" thickBot="1" x14ac:dyDescent="0.3">
      <c r="A8" s="3" t="s">
        <v>61</v>
      </c>
      <c r="B8" s="4" t="s">
        <v>62</v>
      </c>
      <c r="C8" s="4" t="s">
        <v>21</v>
      </c>
      <c r="D8" s="4" t="s">
        <v>50</v>
      </c>
      <c r="E8" s="4" t="s">
        <v>51</v>
      </c>
      <c r="F8" s="4">
        <v>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E20" sqref="E20"/>
    </sheetView>
  </sheetViews>
  <sheetFormatPr defaultRowHeight="15" x14ac:dyDescent="0.25"/>
  <cols>
    <col min="1" max="2" width="10.7109375" bestFit="1" customWidth="1"/>
    <col min="3" max="3" width="10.85546875" bestFit="1" customWidth="1"/>
    <col min="4" max="4" width="15.85546875" bestFit="1" customWidth="1"/>
    <col min="5" max="5" width="21" bestFit="1" customWidth="1"/>
    <col min="6" max="6" width="16.85546875" bestFit="1" customWidth="1"/>
    <col min="7" max="7" width="16.140625" bestFit="1" customWidth="1"/>
    <col min="8" max="8" width="9" bestFit="1" customWidth="1"/>
  </cols>
  <sheetData>
    <row r="1" spans="1:8" ht="15.75" thickBot="1" x14ac:dyDescent="0.3">
      <c r="A1" s="1" t="s">
        <v>63</v>
      </c>
      <c r="B1" s="1" t="s">
        <v>0</v>
      </c>
      <c r="C1" s="1" t="s">
        <v>28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 ht="15.75" thickBot="1" x14ac:dyDescent="0.3">
      <c r="A2" s="1" t="s">
        <v>69</v>
      </c>
      <c r="B2" s="1">
        <v>1002</v>
      </c>
      <c r="C2" s="1" t="s">
        <v>34</v>
      </c>
      <c r="D2" s="1" t="s">
        <v>70</v>
      </c>
      <c r="E2" s="1">
        <v>745</v>
      </c>
      <c r="F2" s="6">
        <v>46387</v>
      </c>
      <c r="G2" s="1">
        <v>500000</v>
      </c>
      <c r="H2" s="1" t="s">
        <v>71</v>
      </c>
    </row>
    <row r="3" spans="1:8" ht="15.75" thickBot="1" x14ac:dyDescent="0.3">
      <c r="A3" s="1" t="s">
        <v>72</v>
      </c>
      <c r="B3" s="1">
        <v>1001</v>
      </c>
      <c r="C3" s="1" t="s">
        <v>39</v>
      </c>
      <c r="D3" s="1" t="s">
        <v>70</v>
      </c>
      <c r="E3" s="1">
        <v>94</v>
      </c>
      <c r="F3" s="6">
        <v>45838</v>
      </c>
      <c r="G3" s="1">
        <v>250000</v>
      </c>
      <c r="H3" s="1" t="s">
        <v>71</v>
      </c>
    </row>
    <row r="4" spans="1:8" ht="15.75" thickBot="1" x14ac:dyDescent="0.3">
      <c r="A4" s="1" t="s">
        <v>73</v>
      </c>
      <c r="B4" s="1">
        <v>1003</v>
      </c>
      <c r="C4" s="1" t="s">
        <v>44</v>
      </c>
      <c r="D4" s="1" t="s">
        <v>70</v>
      </c>
      <c r="E4" s="1">
        <v>115</v>
      </c>
      <c r="F4" s="6">
        <v>45626</v>
      </c>
      <c r="G4" s="1">
        <v>50000</v>
      </c>
      <c r="H4" s="1" t="s">
        <v>74</v>
      </c>
    </row>
    <row r="5" spans="1:8" ht="15.75" thickBot="1" x14ac:dyDescent="0.3">
      <c r="A5" s="1" t="s">
        <v>75</v>
      </c>
      <c r="B5" s="1">
        <v>1004</v>
      </c>
      <c r="C5" s="1" t="s">
        <v>48</v>
      </c>
      <c r="D5" s="1" t="s">
        <v>76</v>
      </c>
      <c r="E5" s="1">
        <v>84500</v>
      </c>
      <c r="F5" s="6">
        <v>45901</v>
      </c>
      <c r="G5" s="1">
        <v>84500</v>
      </c>
      <c r="H5" s="1" t="s">
        <v>77</v>
      </c>
    </row>
    <row r="6" spans="1:8" ht="15.75" thickBot="1" x14ac:dyDescent="0.3">
      <c r="A6" s="1" t="s">
        <v>78</v>
      </c>
      <c r="B6" s="1">
        <v>1008</v>
      </c>
      <c r="C6" s="1" t="s">
        <v>61</v>
      </c>
      <c r="D6" s="1" t="s">
        <v>76</v>
      </c>
      <c r="E6" s="1">
        <v>57000</v>
      </c>
      <c r="F6" s="6">
        <v>46111</v>
      </c>
      <c r="G6" s="1">
        <v>57000</v>
      </c>
      <c r="H6" s="1" t="s">
        <v>77</v>
      </c>
    </row>
    <row r="7" spans="1:8" ht="15.75" thickBot="1" x14ac:dyDescent="0.3">
      <c r="A7" s="1" t="s">
        <v>79</v>
      </c>
      <c r="B7" s="1">
        <v>1005</v>
      </c>
      <c r="C7" s="1" t="s">
        <v>57</v>
      </c>
      <c r="D7" s="1" t="s">
        <v>70</v>
      </c>
      <c r="E7" s="1">
        <v>5.5</v>
      </c>
      <c r="F7" s="6">
        <v>46203</v>
      </c>
      <c r="G7" s="1">
        <v>100000</v>
      </c>
      <c r="H7" s="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F29" sqref="F29"/>
    </sheetView>
  </sheetViews>
  <sheetFormatPr defaultRowHeight="15" x14ac:dyDescent="0.25"/>
  <cols>
    <col min="1" max="1" width="12.28515625" style="5" bestFit="1" customWidth="1"/>
    <col min="2" max="2" width="22" style="5" bestFit="1" customWidth="1"/>
    <col min="3" max="3" width="17" style="5" bestFit="1" customWidth="1"/>
    <col min="4" max="4" width="19.140625" style="5" customWidth="1"/>
    <col min="5" max="6" width="19.28515625" style="5" customWidth="1"/>
    <col min="7" max="7" width="20.7109375" style="5" customWidth="1"/>
    <col min="8" max="8" width="16.7109375" style="5" bestFit="1" customWidth="1"/>
    <col min="9" max="16384" width="9.140625" style="5"/>
  </cols>
  <sheetData>
    <row r="1" spans="1:12" ht="45.75" thickBot="1" x14ac:dyDescent="0.3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1</v>
      </c>
      <c r="G1" s="7" t="s">
        <v>0</v>
      </c>
      <c r="H1" s="7" t="s">
        <v>28</v>
      </c>
      <c r="I1" s="7" t="s">
        <v>85</v>
      </c>
      <c r="J1" s="7" t="s">
        <v>86</v>
      </c>
      <c r="K1" s="7" t="s">
        <v>87</v>
      </c>
      <c r="L1" s="7" t="s">
        <v>88</v>
      </c>
    </row>
    <row r="2" spans="1:12" ht="15.75" thickBot="1" x14ac:dyDescent="0.3">
      <c r="A2" s="7" t="s">
        <v>89</v>
      </c>
      <c r="B2" s="2" t="s">
        <v>90</v>
      </c>
      <c r="C2" s="8">
        <v>45662</v>
      </c>
      <c r="D2" s="8">
        <v>45672</v>
      </c>
      <c r="E2" s="8">
        <v>45672</v>
      </c>
      <c r="F2" s="8" t="str">
        <f>VLOOKUP(G2, Supplier_Master!A:B, 2, FALSE)</f>
        <v>Gulf Rebar Steel Co.</v>
      </c>
      <c r="G2" s="2">
        <v>1002</v>
      </c>
      <c r="H2" s="2" t="s">
        <v>34</v>
      </c>
      <c r="I2" s="2">
        <v>200</v>
      </c>
      <c r="J2" s="2">
        <v>745</v>
      </c>
      <c r="K2" s="2">
        <v>149000</v>
      </c>
      <c r="L2" s="2" t="s">
        <v>91</v>
      </c>
    </row>
    <row r="3" spans="1:12" ht="15.75" thickBot="1" x14ac:dyDescent="0.3">
      <c r="A3" s="7" t="s">
        <v>92</v>
      </c>
      <c r="B3" s="2" t="s">
        <v>93</v>
      </c>
      <c r="C3" s="8">
        <v>45667</v>
      </c>
      <c r="D3" s="8">
        <v>45677</v>
      </c>
      <c r="E3" s="8">
        <v>45679</v>
      </c>
      <c r="F3" s="8" t="str">
        <f>VLOOKUP(G3, Supplier_Master!A:B, 2, FALSE)</f>
        <v>ConcreteMix UAE</v>
      </c>
      <c r="G3" s="2">
        <v>1001</v>
      </c>
      <c r="H3" s="2" t="s">
        <v>39</v>
      </c>
      <c r="I3" s="2">
        <v>500</v>
      </c>
      <c r="J3" s="2">
        <v>94</v>
      </c>
      <c r="K3" s="2">
        <v>47000</v>
      </c>
      <c r="L3" s="2" t="s">
        <v>91</v>
      </c>
    </row>
    <row r="4" spans="1:12" ht="15.75" thickBot="1" x14ac:dyDescent="0.3">
      <c r="A4" s="7" t="s">
        <v>94</v>
      </c>
      <c r="B4" s="2" t="s">
        <v>90</v>
      </c>
      <c r="C4" s="8">
        <v>45669</v>
      </c>
      <c r="D4" s="8">
        <v>45675</v>
      </c>
      <c r="E4" s="8">
        <v>45682</v>
      </c>
      <c r="F4" s="8" t="str">
        <f>VLOOKUP(G4, Supplier_Master!A:B, 2, FALSE)</f>
        <v>EuroLift Rentals</v>
      </c>
      <c r="G4" s="2">
        <v>1003</v>
      </c>
      <c r="H4" s="2" t="s">
        <v>44</v>
      </c>
      <c r="I4" s="2">
        <v>100</v>
      </c>
      <c r="J4" s="2">
        <v>120</v>
      </c>
      <c r="K4" s="2">
        <v>12000</v>
      </c>
      <c r="L4" s="2" t="s">
        <v>95</v>
      </c>
    </row>
    <row r="5" spans="1:12" ht="30.75" thickBot="1" x14ac:dyDescent="0.3">
      <c r="A5" s="7" t="s">
        <v>96</v>
      </c>
      <c r="B5" s="2" t="s">
        <v>93</v>
      </c>
      <c r="C5" s="8">
        <v>45672</v>
      </c>
      <c r="D5" s="8">
        <v>45689</v>
      </c>
      <c r="E5" s="8">
        <v>45689</v>
      </c>
      <c r="F5" s="8" t="str">
        <f>VLOOKUP(G5, Supplier_Master!A:B, 2, FALSE)</f>
        <v>London MEP Services</v>
      </c>
      <c r="G5" s="2">
        <v>1004</v>
      </c>
      <c r="H5" s="2" t="s">
        <v>48</v>
      </c>
      <c r="I5" s="2">
        <v>1</v>
      </c>
      <c r="J5" s="2">
        <v>84500</v>
      </c>
      <c r="K5" s="2">
        <v>84500</v>
      </c>
      <c r="L5" s="2" t="s">
        <v>91</v>
      </c>
    </row>
    <row r="6" spans="1:12" ht="30.75" thickBot="1" x14ac:dyDescent="0.3">
      <c r="A6" s="7" t="s">
        <v>97</v>
      </c>
      <c r="B6" s="2" t="s">
        <v>98</v>
      </c>
      <c r="C6" s="8">
        <v>45677</v>
      </c>
      <c r="D6" s="8">
        <v>45687</v>
      </c>
      <c r="E6" s="8">
        <v>45687</v>
      </c>
      <c r="F6" s="8" t="str">
        <f>VLOOKUP(G6, Supplier_Master!A:B, 2, FALSE)</f>
        <v>Al-Nujum Aggregates</v>
      </c>
      <c r="G6" s="2">
        <v>1005</v>
      </c>
      <c r="H6" s="2" t="s">
        <v>57</v>
      </c>
      <c r="I6" s="2">
        <v>5000</v>
      </c>
      <c r="J6" s="2">
        <v>5.8</v>
      </c>
      <c r="K6" s="2">
        <v>29000</v>
      </c>
      <c r="L6" s="2" t="s">
        <v>91</v>
      </c>
    </row>
    <row r="7" spans="1:12" ht="15.75" thickBot="1" x14ac:dyDescent="0.3">
      <c r="A7" s="7" t="s">
        <v>99</v>
      </c>
      <c r="B7" s="2" t="s">
        <v>90</v>
      </c>
      <c r="C7" s="8">
        <v>45689</v>
      </c>
      <c r="D7" s="8">
        <v>45698</v>
      </c>
      <c r="E7" s="8">
        <v>45703</v>
      </c>
      <c r="F7" s="8" t="str">
        <f>VLOOKUP(G7, Supplier_Master!A:B, 2, FALSE)</f>
        <v>Gulf Rebar Steel Co.</v>
      </c>
      <c r="G7" s="2">
        <v>1002</v>
      </c>
      <c r="H7" s="2" t="s">
        <v>34</v>
      </c>
      <c r="I7" s="2">
        <v>150</v>
      </c>
      <c r="J7" s="2">
        <v>750</v>
      </c>
      <c r="K7" s="2">
        <v>112500</v>
      </c>
      <c r="L7" s="2" t="s">
        <v>91</v>
      </c>
    </row>
    <row r="8" spans="1:12" ht="15.75" thickBot="1" x14ac:dyDescent="0.3">
      <c r="A8" s="7" t="s">
        <v>100</v>
      </c>
      <c r="B8" s="2" t="s">
        <v>98</v>
      </c>
      <c r="C8" s="8">
        <v>45693</v>
      </c>
      <c r="D8" s="8">
        <v>45703</v>
      </c>
      <c r="E8" s="8">
        <v>45702</v>
      </c>
      <c r="F8" s="8" t="str">
        <f>VLOOKUP(G8, Supplier_Master!A:B, 2, FALSE)</f>
        <v>ConcreteMix UAE</v>
      </c>
      <c r="G8" s="2">
        <v>1001</v>
      </c>
      <c r="H8" s="2" t="s">
        <v>39</v>
      </c>
      <c r="I8" s="2">
        <v>300</v>
      </c>
      <c r="J8" s="2">
        <v>94</v>
      </c>
      <c r="K8" s="2">
        <v>28200</v>
      </c>
      <c r="L8" s="2" t="s">
        <v>91</v>
      </c>
    </row>
    <row r="9" spans="1:12" ht="15.75" thickBot="1" x14ac:dyDescent="0.3">
      <c r="A9" s="7" t="s">
        <v>101</v>
      </c>
      <c r="B9" s="2" t="s">
        <v>93</v>
      </c>
      <c r="C9" s="8">
        <v>45698</v>
      </c>
      <c r="D9" s="8">
        <v>45708</v>
      </c>
      <c r="E9" s="8">
        <v>45708</v>
      </c>
      <c r="F9" s="8" t="str">
        <f>VLOOKUP(G9, Supplier_Master!A:B, 2, FALSE)</f>
        <v>German Electrical</v>
      </c>
      <c r="G9" s="2">
        <v>1008</v>
      </c>
      <c r="H9" s="2" t="s">
        <v>61</v>
      </c>
      <c r="I9" s="2">
        <v>1</v>
      </c>
      <c r="J9" s="2">
        <v>57000</v>
      </c>
      <c r="K9" s="2">
        <v>57000</v>
      </c>
      <c r="L9" s="2" t="s">
        <v>91</v>
      </c>
    </row>
    <row r="10" spans="1:12" ht="30.75" thickBot="1" x14ac:dyDescent="0.3">
      <c r="A10" s="7" t="s">
        <v>102</v>
      </c>
      <c r="B10" s="2" t="s">
        <v>90</v>
      </c>
      <c r="C10" s="8">
        <v>45703</v>
      </c>
      <c r="D10" s="8">
        <v>45713</v>
      </c>
      <c r="E10" s="8">
        <v>45716</v>
      </c>
      <c r="F10" s="8" t="str">
        <f>VLOOKUP(G10, Supplier_Master!A:B, 2, FALSE)</f>
        <v>Al-Nujum Aggregates</v>
      </c>
      <c r="G10" s="2">
        <v>1005</v>
      </c>
      <c r="H10" s="2" t="s">
        <v>57</v>
      </c>
      <c r="I10" s="2">
        <v>4000</v>
      </c>
      <c r="J10" s="2">
        <v>5.5</v>
      </c>
      <c r="K10" s="2">
        <v>22000</v>
      </c>
      <c r="L10" s="2" t="s">
        <v>95</v>
      </c>
    </row>
    <row r="11" spans="1:12" ht="30.75" thickBot="1" x14ac:dyDescent="0.3">
      <c r="A11" s="7" t="s">
        <v>103</v>
      </c>
      <c r="B11" s="2" t="s">
        <v>98</v>
      </c>
      <c r="C11" s="8">
        <v>45717</v>
      </c>
      <c r="D11" s="8">
        <v>45726</v>
      </c>
      <c r="E11" s="8">
        <v>45726</v>
      </c>
      <c r="F11" s="8" t="str">
        <f>VLOOKUP(G11, Supplier_Master!A:B, 2, FALSE)</f>
        <v>Italian Marble &amp; Stone</v>
      </c>
      <c r="G11" s="2">
        <v>1006</v>
      </c>
      <c r="H11" s="2" t="s">
        <v>52</v>
      </c>
      <c r="I11" s="2">
        <v>200</v>
      </c>
      <c r="J11" s="2">
        <v>150</v>
      </c>
      <c r="K11" s="2">
        <v>30000</v>
      </c>
      <c r="L11" s="2" t="s">
        <v>91</v>
      </c>
    </row>
    <row r="12" spans="1:12" ht="15.75" thickBot="1" x14ac:dyDescent="0.3">
      <c r="A12" s="7" t="s">
        <v>104</v>
      </c>
      <c r="B12" s="2" t="s">
        <v>93</v>
      </c>
      <c r="C12" s="8">
        <v>45721</v>
      </c>
      <c r="D12" s="8">
        <v>45731</v>
      </c>
      <c r="E12" s="8">
        <v>45733</v>
      </c>
      <c r="F12" s="8" t="str">
        <f>VLOOKUP(G12, Supplier_Master!A:B, 2, FALSE)</f>
        <v>EuroLift Rentals</v>
      </c>
      <c r="G12" s="2">
        <v>1003</v>
      </c>
      <c r="H12" s="2" t="s">
        <v>44</v>
      </c>
      <c r="I12" s="2">
        <v>150</v>
      </c>
      <c r="J12" s="2">
        <v>115</v>
      </c>
      <c r="K12" s="2">
        <v>17250</v>
      </c>
      <c r="L12" s="2" t="s">
        <v>91</v>
      </c>
    </row>
    <row r="13" spans="1:12" ht="15.75" thickBot="1" x14ac:dyDescent="0.3">
      <c r="A13" s="7" t="s">
        <v>105</v>
      </c>
      <c r="B13" s="2" t="s">
        <v>90</v>
      </c>
      <c r="C13" s="8">
        <v>45726</v>
      </c>
      <c r="D13" s="8">
        <v>45736</v>
      </c>
      <c r="E13" s="8">
        <v>45736</v>
      </c>
      <c r="F13" s="8" t="str">
        <f>VLOOKUP(G13, Supplier_Master!A:B, 2, FALSE)</f>
        <v>Gulf Rebar Steel Co.</v>
      </c>
      <c r="G13" s="2">
        <v>1002</v>
      </c>
      <c r="H13" s="2" t="s">
        <v>34</v>
      </c>
      <c r="I13" s="2">
        <v>100</v>
      </c>
      <c r="J13" s="2">
        <v>745</v>
      </c>
      <c r="K13" s="2">
        <v>74500</v>
      </c>
      <c r="L13" s="2" t="s">
        <v>91</v>
      </c>
    </row>
    <row r="14" spans="1:12" ht="15.75" thickBot="1" x14ac:dyDescent="0.3">
      <c r="A14" s="7" t="s">
        <v>106</v>
      </c>
      <c r="B14" s="2" t="s">
        <v>93</v>
      </c>
      <c r="C14" s="8">
        <v>45731</v>
      </c>
      <c r="D14" s="8">
        <v>45741</v>
      </c>
      <c r="E14" s="8">
        <v>45741</v>
      </c>
      <c r="F14" s="8" t="str">
        <f>VLOOKUP(G14, Supplier_Master!A:B, 2, FALSE)</f>
        <v>ConcreteMix UAE</v>
      </c>
      <c r="G14" s="2">
        <v>1001</v>
      </c>
      <c r="H14" s="2" t="s">
        <v>39</v>
      </c>
      <c r="I14" s="2">
        <v>600</v>
      </c>
      <c r="J14" s="2">
        <v>95</v>
      </c>
      <c r="K14" s="2">
        <v>57000</v>
      </c>
      <c r="L14" s="2" t="s">
        <v>91</v>
      </c>
    </row>
    <row r="15" spans="1:12" ht="30.75" thickBot="1" x14ac:dyDescent="0.3">
      <c r="A15" s="7" t="s">
        <v>107</v>
      </c>
      <c r="B15" s="2" t="s">
        <v>98</v>
      </c>
      <c r="C15" s="8">
        <v>45736</v>
      </c>
      <c r="D15" s="8">
        <v>45746</v>
      </c>
      <c r="E15" s="8">
        <v>45750</v>
      </c>
      <c r="F15" s="8" t="str">
        <f>VLOOKUP(G15, Supplier_Master!A:B, 2, FALSE)</f>
        <v>Al-Nujum Aggregates</v>
      </c>
      <c r="G15" s="2">
        <v>1005</v>
      </c>
      <c r="H15" s="2" t="s">
        <v>57</v>
      </c>
      <c r="I15" s="2">
        <v>3000</v>
      </c>
      <c r="J15" s="2">
        <v>5.6</v>
      </c>
      <c r="K15" s="2">
        <v>16800</v>
      </c>
      <c r="L15" s="2" t="s">
        <v>95</v>
      </c>
    </row>
    <row r="16" spans="1:12" ht="30.75" thickBot="1" x14ac:dyDescent="0.3">
      <c r="A16" s="7" t="s">
        <v>108</v>
      </c>
      <c r="B16" s="2" t="s">
        <v>90</v>
      </c>
      <c r="C16" s="8">
        <v>45748</v>
      </c>
      <c r="D16" s="8">
        <v>45757</v>
      </c>
      <c r="E16" s="8">
        <v>45757</v>
      </c>
      <c r="F16" s="8" t="str">
        <f>VLOOKUP(G16, Supplier_Master!A:B, 2, FALSE)</f>
        <v>London MEP Services</v>
      </c>
      <c r="G16" s="2">
        <v>1004</v>
      </c>
      <c r="H16" s="2" t="s">
        <v>48</v>
      </c>
      <c r="I16" s="2">
        <v>1</v>
      </c>
      <c r="J16" s="2">
        <v>85000</v>
      </c>
      <c r="K16" s="2">
        <v>85000</v>
      </c>
      <c r="L16" s="2" t="s">
        <v>91</v>
      </c>
    </row>
    <row r="17" spans="1:12" ht="15.75" thickBot="1" x14ac:dyDescent="0.3">
      <c r="A17" s="7" t="s">
        <v>109</v>
      </c>
      <c r="B17" s="2" t="s">
        <v>98</v>
      </c>
      <c r="C17" s="8">
        <v>45752</v>
      </c>
      <c r="D17" s="8">
        <v>45762</v>
      </c>
      <c r="E17" s="8">
        <v>45762</v>
      </c>
      <c r="F17" s="8" t="str">
        <f>VLOOKUP(G17, Supplier_Master!A:B, 2, FALSE)</f>
        <v>Saudi Scaffolding</v>
      </c>
      <c r="G17" s="2">
        <v>1007</v>
      </c>
      <c r="H17" s="2" t="s">
        <v>44</v>
      </c>
      <c r="I17" s="2">
        <v>50</v>
      </c>
      <c r="J17" s="2">
        <v>125</v>
      </c>
      <c r="K17" s="2">
        <v>6250</v>
      </c>
      <c r="L17" s="2" t="s">
        <v>91</v>
      </c>
    </row>
    <row r="18" spans="1:12" ht="15.75" thickBot="1" x14ac:dyDescent="0.3">
      <c r="A18" s="7" t="s">
        <v>110</v>
      </c>
      <c r="B18" s="2" t="s">
        <v>93</v>
      </c>
      <c r="C18" s="8">
        <v>45757</v>
      </c>
      <c r="D18" s="8">
        <v>45767</v>
      </c>
      <c r="E18" s="8">
        <v>45768</v>
      </c>
      <c r="F18" s="8" t="str">
        <f>VLOOKUP(G18, Supplier_Master!A:B, 2, FALSE)</f>
        <v>German Electrical</v>
      </c>
      <c r="G18" s="2">
        <v>1008</v>
      </c>
      <c r="H18" s="2" t="s">
        <v>61</v>
      </c>
      <c r="I18" s="2">
        <v>1</v>
      </c>
      <c r="J18" s="2">
        <v>57500</v>
      </c>
      <c r="K18" s="2">
        <v>57500</v>
      </c>
      <c r="L18" s="2" t="s">
        <v>91</v>
      </c>
    </row>
    <row r="19" spans="1:12" ht="15.75" thickBot="1" x14ac:dyDescent="0.3">
      <c r="A19" s="7" t="s">
        <v>111</v>
      </c>
      <c r="B19" s="2" t="s">
        <v>90</v>
      </c>
      <c r="C19" s="8">
        <v>45762</v>
      </c>
      <c r="D19" s="8">
        <v>45772</v>
      </c>
      <c r="E19" s="8">
        <v>45772</v>
      </c>
      <c r="F19" s="8" t="str">
        <f>VLOOKUP(G19, Supplier_Master!A:B, 2, FALSE)</f>
        <v>Gulf Rebar Steel Co.</v>
      </c>
      <c r="G19" s="2">
        <v>1002</v>
      </c>
      <c r="H19" s="2" t="s">
        <v>34</v>
      </c>
      <c r="I19" s="2">
        <v>100</v>
      </c>
      <c r="J19" s="2">
        <v>745</v>
      </c>
      <c r="K19" s="2">
        <v>74500</v>
      </c>
      <c r="L19" s="2" t="s">
        <v>91</v>
      </c>
    </row>
    <row r="20" spans="1:12" ht="30.75" thickBot="1" x14ac:dyDescent="0.3">
      <c r="A20" s="7" t="s">
        <v>112</v>
      </c>
      <c r="B20" s="2" t="s">
        <v>98</v>
      </c>
      <c r="C20" s="8">
        <v>45767</v>
      </c>
      <c r="D20" s="8">
        <v>45777</v>
      </c>
      <c r="E20" s="8">
        <v>45779</v>
      </c>
      <c r="F20" s="8" t="str">
        <f>VLOOKUP(G20, Supplier_Master!A:B, 2, FALSE)</f>
        <v>Al-Nujum Aggregates</v>
      </c>
      <c r="G20" s="2">
        <v>1005</v>
      </c>
      <c r="H20" s="2" t="s">
        <v>57</v>
      </c>
      <c r="I20" s="2">
        <v>6000</v>
      </c>
      <c r="J20" s="2">
        <v>5.5</v>
      </c>
      <c r="K20" s="2">
        <v>33000</v>
      </c>
      <c r="L20" s="2" t="s">
        <v>91</v>
      </c>
    </row>
    <row r="21" spans="1:12" ht="30.75" thickBot="1" x14ac:dyDescent="0.3">
      <c r="A21" s="7" t="s">
        <v>113</v>
      </c>
      <c r="B21" s="2" t="s">
        <v>93</v>
      </c>
      <c r="C21" s="8">
        <v>45772</v>
      </c>
      <c r="D21" s="8">
        <v>45782</v>
      </c>
      <c r="E21" s="8">
        <v>45782</v>
      </c>
      <c r="F21" s="8" t="str">
        <f>VLOOKUP(G21, Supplier_Master!A:B, 2, FALSE)</f>
        <v>Italian Marble &amp; Stone</v>
      </c>
      <c r="G21" s="2">
        <v>1006</v>
      </c>
      <c r="H21" s="2" t="s">
        <v>52</v>
      </c>
      <c r="I21" s="2">
        <v>100</v>
      </c>
      <c r="J21" s="2">
        <v>155</v>
      </c>
      <c r="K21" s="2">
        <v>15500</v>
      </c>
      <c r="L21" s="2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Supplier_Master</vt:lpstr>
      <vt:lpstr>Material_Master</vt:lpstr>
      <vt:lpstr>Contracts_RFQ</vt:lpstr>
      <vt:lpstr>Purchase_Orders_GR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973177</dc:creator>
  <cp:lastModifiedBy>973177</cp:lastModifiedBy>
  <dcterms:created xsi:type="dcterms:W3CDTF">2025-11-25T07:33:20Z</dcterms:created>
  <dcterms:modified xsi:type="dcterms:W3CDTF">2025-11-25T08:10:35Z</dcterms:modified>
</cp:coreProperties>
</file>